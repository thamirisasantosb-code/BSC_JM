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amires.santos\Downloads\"/>
    </mc:Choice>
  </mc:AlternateContent>
  <xr:revisionPtr revIDLastSave="0" documentId="13_ncr:1_{192E5618-67DC-4601-8466-10097A6A0A27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1. Dashboard de Tendência" sheetId="1" r:id="rId1"/>
    <sheet name="2. Cronograma Gantt" sheetId="2" r:id="rId2"/>
    <sheet name="3. Quadro Kanb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N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12" i="1"/>
  <c r="G10" i="1"/>
  <c r="F10" i="1"/>
  <c r="E10" i="1"/>
  <c r="K10" i="1"/>
  <c r="J10" i="1" l="1"/>
</calcChain>
</file>

<file path=xl/sharedStrings.xml><?xml version="1.0" encoding="utf-8"?>
<sst xmlns="http://schemas.openxmlformats.org/spreadsheetml/2006/main" count="154" uniqueCount="100">
  <si>
    <t>MODELO 1: INDICADORES E TENDÊNCIA DIÁRIA / SEMANAL</t>
  </si>
  <si>
    <t>Delivery Success (Semana Atual)
  94.8%   (WoW: +0.5% ▲)</t>
  </si>
  <si>
    <t>Volume Total (Janelas)
  1,240   (Meta: 1,200)</t>
  </si>
  <si>
    <t>HISTÓRICO DE PERFORMANCE DA OPERAÇÃO</t>
  </si>
  <si>
    <t>Data</t>
  </si>
  <si>
    <t>Semana</t>
  </si>
  <si>
    <t>Objetivo</t>
  </si>
  <si>
    <t>Dwell Time (h)</t>
  </si>
  <si>
    <t>Atrasos</t>
  </si>
  <si>
    <t>Ocorrências</t>
  </si>
  <si>
    <t>01/jun</t>
  </si>
  <si>
    <t>Nenhuma</t>
  </si>
  <si>
    <t>02/jun</t>
  </si>
  <si>
    <t>Atraso Frota</t>
  </si>
  <si>
    <t>03/jun</t>
  </si>
  <si>
    <t>Roteirização</t>
  </si>
  <si>
    <t>04/jun</t>
  </si>
  <si>
    <t>Janela Estourada</t>
  </si>
  <si>
    <t>05/jun</t>
  </si>
  <si>
    <t>Ajuste de Tabela</t>
  </si>
  <si>
    <t>06/jun</t>
  </si>
  <si>
    <t>08/jun</t>
  </si>
  <si>
    <t>09/jun</t>
  </si>
  <si>
    <t>Alinhamento Escala</t>
  </si>
  <si>
    <t>10/jun</t>
  </si>
  <si>
    <t>FDS SVC Spot</t>
  </si>
  <si>
    <t>MÉDIA / TOTAL</t>
  </si>
  <si>
    <t>-</t>
  </si>
  <si>
    <t>MODELO 2: ACOMPANHAMENTO DE PROGRESSO E PROJETOS (GANTT)</t>
  </si>
  <si>
    <t>DETALHES DA TAREFA / OPERAÇÃO</t>
  </si>
  <si>
    <t>SEMANA 1 (01-07/JUN)</t>
  </si>
  <si>
    <t>SEMANA 2 (08-14/JUN)</t>
  </si>
  <si>
    <t>SEMANA 3 (15-21/JUN)</t>
  </si>
  <si>
    <t>ID</t>
  </si>
  <si>
    <t>Operação</t>
  </si>
  <si>
    <t>Ação / Checklist</t>
  </si>
  <si>
    <t>Responsável</t>
  </si>
  <si>
    <t>Início</t>
  </si>
  <si>
    <t>Fim</t>
  </si>
  <si>
    <t>Status</t>
  </si>
  <si>
    <t>% Concl.</t>
  </si>
  <si>
    <t>Seg</t>
  </si>
  <si>
    <t>Ter</t>
  </si>
  <si>
    <t>Qua</t>
  </si>
  <si>
    <t>Qui</t>
  </si>
  <si>
    <t>First Mile</t>
  </si>
  <si>
    <t>Realizar follow-up do 1º BIP</t>
  </si>
  <si>
    <t>Thaís</t>
  </si>
  <si>
    <t>Atraso</t>
  </si>
  <si>
    <t>Acompanhar evolução de PU</t>
  </si>
  <si>
    <t>Carlos</t>
  </si>
  <si>
    <t>Em Andamento</t>
  </si>
  <si>
    <t>Last Mile</t>
  </si>
  <si>
    <t>Treinamentos de Integração</t>
  </si>
  <si>
    <t>Felipe</t>
  </si>
  <si>
    <t>Concluído</t>
  </si>
  <si>
    <t>Ajuste de tabela SPOT</t>
  </si>
  <si>
    <t>Mariana</t>
  </si>
  <si>
    <t>12/jun</t>
  </si>
  <si>
    <t>Line Haul</t>
  </si>
  <si>
    <t>Alinhamento operacional PDP</t>
  </si>
  <si>
    <t>Pedro</t>
  </si>
  <si>
    <t>15/jun</t>
  </si>
  <si>
    <t>A Fazer</t>
  </si>
  <si>
    <t>Qualidade</t>
  </si>
  <si>
    <t>Cockpit Qualidade</t>
  </si>
  <si>
    <t>Thamiris</t>
  </si>
  <si>
    <t>11/jun</t>
  </si>
  <si>
    <t>16/jun</t>
  </si>
  <si>
    <t>MODELO 3: QUADRO KANBAN VISUAL DE TAREFAS</t>
  </si>
  <si>
    <t>A FAZER</t>
  </si>
  <si>
    <t>EM ANDAMENTO</t>
  </si>
  <si>
    <t>IMPEDIDO / ATRASO</t>
  </si>
  <si>
    <t>CONCLUÍDO</t>
  </si>
  <si>
    <t xml:space="preserve"> [LINE HAUL]</t>
  </si>
  <si>
    <t xml:space="preserve"> [FIRST MILE]</t>
  </si>
  <si>
    <t xml:space="preserve"> [LAST MILE]</t>
  </si>
  <si>
    <t>Alinhamento operacional PDP.</t>
  </si>
  <si>
    <t>Acompanhar evolução PU Maringá.</t>
  </si>
  <si>
    <t>Follow-up do 1º BIP corporativo.</t>
  </si>
  <si>
    <t>Treinamento direção defensiva.</t>
  </si>
  <si>
    <t xml:space="preserve"> Resp: Pedro | Prazo: 15/Jun</t>
  </si>
  <si>
    <t xml:space="preserve"> Resp: Carlos | Prazo: 08/Jun</t>
  </si>
  <si>
    <t xml:space="preserve"> Resp: Thaís | Prazo: 04/Jun</t>
  </si>
  <si>
    <t xml:space="preserve"> Resp: Felipe | Prazo: 05/Jun</t>
  </si>
  <si>
    <t xml:space="preserve"> [ESTRUTURA]</t>
  </si>
  <si>
    <t xml:space="preserve"> [QUALIDADE]</t>
  </si>
  <si>
    <t>Nova rota expressa SP.</t>
  </si>
  <si>
    <t>Cockpit Qualidade na diretoria.</t>
  </si>
  <si>
    <t>Ajuste de tabela de frete SPOT.</t>
  </si>
  <si>
    <t xml:space="preserve"> Resp: Gisele | Prazo: 22/Jun</t>
  </si>
  <si>
    <t xml:space="preserve"> Resp: Thamiris | Prazo: 16/Jun</t>
  </si>
  <si>
    <t xml:space="preserve"> Resp: Mariana | Prazo: 12/Jun</t>
  </si>
  <si>
    <t>W22</t>
  </si>
  <si>
    <t>W21</t>
  </si>
  <si>
    <t>Resultado</t>
  </si>
  <si>
    <t>2.5</t>
  </si>
  <si>
    <t>Peso</t>
  </si>
  <si>
    <t>Dwell Time Médio
  1,8h   (WoW: -12% ▼)</t>
  </si>
  <si>
    <t>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</si>
</sst>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0"/>
      <color rgb="FF155724"/>
      <name val="Segoe UI"/>
    </font>
    <font>
      <b/>
      <sz val="10"/>
      <color rgb="FF0C5460"/>
      <name val="Segoe UI"/>
    </font>
    <font>
      <b/>
      <sz val="10"/>
      <color rgb="FF856404"/>
      <name val="Segoe UI"/>
    </font>
    <font>
      <b/>
      <sz val="11"/>
      <color rgb="FFFFFFFF"/>
      <name val="Segoe UI"/>
    </font>
    <font>
      <b/>
      <sz val="10"/>
      <color rgb="FF333333"/>
      <name val="Segoe UI"/>
    </font>
    <font>
      <sz val="10"/>
      <color rgb="FF000000"/>
      <name val="Segoe UI"/>
    </font>
    <font>
      <b/>
      <sz val="10"/>
      <color rgb="FF000000"/>
      <name val="Segoe UI"/>
    </font>
    <font>
      <b/>
      <sz val="8"/>
      <name val="Segoe UI"/>
    </font>
    <font>
      <b/>
      <sz val="11"/>
      <color rgb="FF333333"/>
      <name val="Segoe UI"/>
    </font>
    <font>
      <b/>
      <sz val="9"/>
      <color rgb="FFFFFFFF"/>
      <name val="Segoe UI"/>
    </font>
    <font>
      <sz val="10"/>
      <name val="Segoe UI"/>
    </font>
    <font>
      <i/>
      <sz val="9"/>
      <color rgb="FF555555"/>
      <name val="Segoe UI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A2540"/>
        <bgColor rgb="FF0A2540"/>
      </patternFill>
    </fill>
    <fill>
      <patternFill patternType="solid">
        <fgColor rgb="FFD4EDDA"/>
        <bgColor rgb="FFD4EDDA"/>
      </patternFill>
    </fill>
    <fill>
      <patternFill patternType="solid">
        <fgColor rgb="FFD1ECF1"/>
        <bgColor rgb="FFD1ECF1"/>
      </patternFill>
    </fill>
    <fill>
      <patternFill patternType="solid">
        <fgColor rgb="FFFFF3CD"/>
        <bgColor rgb="FFFFF3CD"/>
      </patternFill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  <fill>
      <patternFill patternType="solid">
        <fgColor rgb="FFF8D7DA"/>
        <bgColor rgb="FFF8D7DA"/>
      </patternFill>
    </fill>
    <fill>
      <patternFill patternType="solid">
        <fgColor rgb="FFE9ECEF"/>
        <bgColor rgb="FFE9ECE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6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3" fontId="8" fillId="0" borderId="1" xfId="0" applyNumberFormat="1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6" fillId="7" borderId="1" xfId="0" applyFont="1" applyFill="1" applyBorder="1"/>
    <xf numFmtId="0" fontId="9" fillId="7" borderId="1" xfId="0" applyFont="1" applyFill="1" applyBorder="1" applyAlignment="1">
      <alignment horizontal="center"/>
    </xf>
    <xf numFmtId="0" fontId="7" fillId="0" borderId="1" xfId="0" applyFont="1" applyBorder="1"/>
    <xf numFmtId="9" fontId="7" fillId="0" borderId="1" xfId="0" applyNumberFormat="1" applyFont="1" applyBorder="1" applyAlignment="1">
      <alignment horizontal="right"/>
    </xf>
    <xf numFmtId="0" fontId="0" fillId="8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9" borderId="1" xfId="0" applyFill="1" applyBorder="1"/>
    <xf numFmtId="0" fontId="5" fillId="6" borderId="0" xfId="0" applyFont="1" applyFill="1" applyAlignment="1">
      <alignment horizontal="left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vertical="top" wrapText="1"/>
    </xf>
    <xf numFmtId="0" fontId="13" fillId="10" borderId="1" xfId="0" applyFont="1" applyFill="1" applyBorder="1"/>
    <xf numFmtId="0" fontId="11" fillId="6" borderId="1" xfId="0" applyFont="1" applyFill="1" applyBorder="1"/>
    <xf numFmtId="0" fontId="10" fillId="9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9" fontId="0" fillId="0" borderId="0" xfId="1" applyFont="1"/>
    <xf numFmtId="0" fontId="0" fillId="0" borderId="0" xfId="0" applyBorder="1"/>
    <xf numFmtId="9" fontId="8" fillId="0" borderId="1" xfId="1" applyFont="1" applyBorder="1"/>
    <xf numFmtId="9" fontId="6" fillId="7" borderId="1" xfId="1" applyFont="1" applyFill="1" applyBorder="1" applyAlignment="1">
      <alignment horizontal="center" vertical="center" wrapText="1"/>
    </xf>
    <xf numFmtId="10" fontId="0" fillId="0" borderId="0" xfId="1" applyNumberFormat="1" applyFont="1" applyAlignment="1">
      <alignment horizontal="left"/>
    </xf>
    <xf numFmtId="10" fontId="8" fillId="0" borderId="1" xfId="1" applyNumberFormat="1" applyFont="1" applyBorder="1"/>
    <xf numFmtId="10" fontId="6" fillId="7" borderId="1" xfId="1" applyNumberFormat="1" applyFont="1" applyFill="1" applyBorder="1" applyAlignment="1">
      <alignment horizontal="center" vertical="center" wrapText="1"/>
    </xf>
    <xf numFmtId="10" fontId="0" fillId="0" borderId="0" xfId="1" applyNumberFormat="1" applyFont="1"/>
    <xf numFmtId="0" fontId="6" fillId="7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Tendência: Delivery Success vs Objetivo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Dashboard de Tendência'!$G$11</c:f>
              <c:strCache>
                <c:ptCount val="1"/>
                <c:pt idx="0">
                  <c:v>Peso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'1. Dashboard de Tendência'!$B$12:$B$20</c:f>
              <c:strCache>
                <c:ptCount val="9"/>
                <c:pt idx="0">
                  <c:v>01/jun</c:v>
                </c:pt>
                <c:pt idx="1">
                  <c:v>02/jun</c:v>
                </c:pt>
                <c:pt idx="2">
                  <c:v>03/jun</c:v>
                </c:pt>
                <c:pt idx="3">
                  <c:v>04/jun</c:v>
                </c:pt>
                <c:pt idx="4">
                  <c:v>05/jun</c:v>
                </c:pt>
                <c:pt idx="5">
                  <c:v>06/jun</c:v>
                </c:pt>
                <c:pt idx="6">
                  <c:v>08/jun</c:v>
                </c:pt>
                <c:pt idx="7">
                  <c:v>09/jun</c:v>
                </c:pt>
                <c:pt idx="8">
                  <c:v>10/jun</c:v>
                </c:pt>
              </c:strCache>
            </c:strRef>
          </c:cat>
          <c:val>
            <c:numRef>
              <c:f>'1. Dashboard de Tendência'!$G$12:$G$20</c:f>
              <c:numCache>
                <c:formatCode>General</c:formatCode>
                <c:ptCount val="9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7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6F-4AF3-AE61-CF87097652CF}"/>
            </c:ext>
          </c:extLst>
        </c:ser>
        <c:ser>
          <c:idx val="1"/>
          <c:order val="1"/>
          <c:tx>
            <c:strRef>
              <c:f>'1. Dashboard de Tendência'!$E$11</c:f>
              <c:strCache>
                <c:ptCount val="1"/>
                <c:pt idx="0">
                  <c:v>Objetivo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'1. Dashboard de Tendência'!$B$12:$B$20</c:f>
              <c:strCache>
                <c:ptCount val="9"/>
                <c:pt idx="0">
                  <c:v>01/jun</c:v>
                </c:pt>
                <c:pt idx="1">
                  <c:v>02/jun</c:v>
                </c:pt>
                <c:pt idx="2">
                  <c:v>03/jun</c:v>
                </c:pt>
                <c:pt idx="3">
                  <c:v>04/jun</c:v>
                </c:pt>
                <c:pt idx="4">
                  <c:v>05/jun</c:v>
                </c:pt>
                <c:pt idx="5">
                  <c:v>06/jun</c:v>
                </c:pt>
                <c:pt idx="6">
                  <c:v>08/jun</c:v>
                </c:pt>
                <c:pt idx="7">
                  <c:v>09/jun</c:v>
                </c:pt>
                <c:pt idx="8">
                  <c:v>10/jun</c:v>
                </c:pt>
              </c:strCache>
            </c:strRef>
          </c:cat>
          <c:val>
            <c:numRef>
              <c:f>'1. Dashboard de Tendência'!$H$12:$H$20</c:f>
              <c:numCache>
                <c:formatCode>0.0%</c:formatCode>
                <c:ptCount val="9"/>
                <c:pt idx="0">
                  <c:v>4.0000000000000036E-2</c:v>
                </c:pt>
                <c:pt idx="1">
                  <c:v>4.7599999999999976E-2</c:v>
                </c:pt>
                <c:pt idx="2">
                  <c:v>-1.9100000000000006E-2</c:v>
                </c:pt>
                <c:pt idx="3">
                  <c:v>1.8000000000000238E-3</c:v>
                </c:pt>
                <c:pt idx="4">
                  <c:v>-1.3999999999999901E-2</c:v>
                </c:pt>
                <c:pt idx="5">
                  <c:v>5.6200000000000028E-2</c:v>
                </c:pt>
                <c:pt idx="6">
                  <c:v>6.030000000000002E-2</c:v>
                </c:pt>
                <c:pt idx="7">
                  <c:v>1.1499999999999955E-2</c:v>
                </c:pt>
                <c:pt idx="8">
                  <c:v>0.16360000000000008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6F-4AF3-AE61-CF8709765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Performance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276225</xdr:colOff>
      <xdr:row>10</xdr:row>
      <xdr:rowOff>161925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2"/>
  <sheetViews>
    <sheetView tabSelected="1" topLeftCell="A5" workbookViewId="0">
      <selection activeCell="D12" sqref="D12"/>
    </sheetView>
  </sheetViews>
  <sheetFormatPr defaultRowHeight="15" x14ac:dyDescent="0.25"/>
  <cols>
    <col min="1" max="1" width="3" customWidth="1"/>
    <col min="2" max="2" width="12" customWidth="1"/>
    <col min="3" max="4" width="14" customWidth="1"/>
    <col min="5" max="5" width="15" style="37" customWidth="1"/>
    <col min="6" max="6" width="15" style="44" customWidth="1"/>
    <col min="7" max="7" width="16" customWidth="1"/>
    <col min="10" max="10" width="9.140625" customWidth="1"/>
    <col min="11" max="11" width="16" customWidth="1"/>
    <col min="12" max="12" width="17.28515625" bestFit="1" customWidth="1"/>
  </cols>
  <sheetData>
    <row r="2" spans="2:14" x14ac:dyDescent="0.25">
      <c r="B2" s="27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2:14" x14ac:dyDescent="0.25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5" spans="2:14" x14ac:dyDescent="0.25">
      <c r="B5" s="25" t="s">
        <v>1</v>
      </c>
      <c r="C5" s="24"/>
      <c r="D5" s="38"/>
      <c r="F5" s="23" t="s">
        <v>98</v>
      </c>
      <c r="G5" s="24"/>
      <c r="H5" s="24"/>
      <c r="I5" s="38"/>
      <c r="K5" s="26" t="s">
        <v>2</v>
      </c>
      <c r="L5" s="24"/>
      <c r="M5" s="24"/>
    </row>
    <row r="6" spans="2:14" ht="51" customHeight="1" x14ac:dyDescent="0.25">
      <c r="B6" s="24"/>
      <c r="C6" s="24"/>
      <c r="D6" s="38"/>
      <c r="F6" s="24"/>
      <c r="G6" s="24"/>
      <c r="H6" s="24"/>
      <c r="I6" s="38"/>
      <c r="K6" s="24"/>
      <c r="L6" s="24"/>
      <c r="M6" s="24"/>
    </row>
    <row r="9" spans="2:14" ht="16.5" x14ac:dyDescent="0.25">
      <c r="B9" s="21" t="s">
        <v>3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2:14" x14ac:dyDescent="0.25">
      <c r="B10" s="8" t="s">
        <v>26</v>
      </c>
      <c r="C10" s="9" t="s">
        <v>27</v>
      </c>
      <c r="D10" s="9"/>
      <c r="E10" s="39">
        <f>SUM(E12:E20)</f>
        <v>8.1739999999999995</v>
      </c>
      <c r="F10" s="42">
        <f>SUM(F12:F20)</f>
        <v>7.8260999999999994</v>
      </c>
      <c r="G10" s="11">
        <f>AVERAGE(G12:G20)</f>
        <v>5.1111111111111107</v>
      </c>
      <c r="H10" s="11"/>
      <c r="I10" s="11"/>
      <c r="J10" s="12">
        <f>AVERAGE(J12:J20)</f>
        <v>1.8666666666666667</v>
      </c>
      <c r="K10" s="10">
        <f>SUM(K12:K20)</f>
        <v>12</v>
      </c>
      <c r="L10" s="9" t="s">
        <v>27</v>
      </c>
    </row>
    <row r="11" spans="2:14" ht="28.5" x14ac:dyDescent="0.25">
      <c r="B11" s="2" t="s">
        <v>4</v>
      </c>
      <c r="C11" s="2" t="s">
        <v>5</v>
      </c>
      <c r="D11" s="2"/>
      <c r="E11" s="40" t="s">
        <v>6</v>
      </c>
      <c r="F11" s="43" t="s">
        <v>95</v>
      </c>
      <c r="G11" s="2" t="s">
        <v>97</v>
      </c>
      <c r="H11" s="45" t="s">
        <v>99</v>
      </c>
      <c r="I11" s="45"/>
      <c r="J11" s="2" t="s">
        <v>7</v>
      </c>
      <c r="K11" s="2" t="s">
        <v>8</v>
      </c>
      <c r="L11" s="2" t="s">
        <v>9</v>
      </c>
    </row>
    <row r="12" spans="2:14" x14ac:dyDescent="0.25">
      <c r="B12" s="3" t="s">
        <v>10</v>
      </c>
      <c r="C12" t="s">
        <v>93</v>
      </c>
      <c r="E12" s="37">
        <v>0.88</v>
      </c>
      <c r="F12" s="41">
        <v>0.84</v>
      </c>
      <c r="G12">
        <v>6</v>
      </c>
      <c r="H12" s="5">
        <f>E12-F12</f>
        <v>4.0000000000000036E-2</v>
      </c>
      <c r="I12" s="5"/>
      <c r="J12" s="6">
        <v>1.4</v>
      </c>
      <c r="K12" s="4">
        <v>0</v>
      </c>
      <c r="L12" s="7" t="s">
        <v>11</v>
      </c>
      <c r="M12" t="str">
        <f>RIGHT(E12,4)</f>
        <v>0,88</v>
      </c>
      <c r="N12" s="37" t="str">
        <f>LEFT(F12,4)</f>
        <v>0,84</v>
      </c>
    </row>
    <row r="13" spans="2:14" x14ac:dyDescent="0.25">
      <c r="B13" s="3" t="s">
        <v>12</v>
      </c>
      <c r="C13" t="s">
        <v>93</v>
      </c>
      <c r="E13" s="37">
        <v>0.85</v>
      </c>
      <c r="F13" s="41">
        <v>0.8024</v>
      </c>
      <c r="G13">
        <v>7</v>
      </c>
      <c r="H13" s="5">
        <f t="shared" ref="H13:H42" si="0">E13-F13</f>
        <v>4.7599999999999976E-2</v>
      </c>
      <c r="I13" s="5"/>
      <c r="J13" s="6">
        <v>2.1</v>
      </c>
      <c r="K13" s="4">
        <v>2</v>
      </c>
      <c r="L13" s="7" t="s">
        <v>13</v>
      </c>
      <c r="M13" t="str">
        <f>RIGHT(E13,4)</f>
        <v>0,85</v>
      </c>
    </row>
    <row r="14" spans="2:14" x14ac:dyDescent="0.25">
      <c r="B14" s="3" t="s">
        <v>14</v>
      </c>
      <c r="C14" t="s">
        <v>93</v>
      </c>
      <c r="E14" s="37">
        <v>0.96</v>
      </c>
      <c r="F14" s="41">
        <v>0.97909999999999997</v>
      </c>
      <c r="G14">
        <v>7</v>
      </c>
      <c r="H14" s="5">
        <f t="shared" si="0"/>
        <v>-1.9100000000000006E-2</v>
      </c>
      <c r="I14" s="5"/>
      <c r="J14" s="6">
        <v>1.9</v>
      </c>
      <c r="K14" s="4">
        <v>1</v>
      </c>
      <c r="L14" s="7" t="s">
        <v>15</v>
      </c>
      <c r="M14" t="str">
        <f>RIGHT(E14,4)</f>
        <v>0,96</v>
      </c>
    </row>
    <row r="15" spans="2:14" x14ac:dyDescent="0.25">
      <c r="B15" s="3" t="s">
        <v>16</v>
      </c>
      <c r="C15" t="s">
        <v>93</v>
      </c>
      <c r="E15" s="37">
        <v>0.92200000000000004</v>
      </c>
      <c r="F15" s="41">
        <v>0.92020000000000002</v>
      </c>
      <c r="G15">
        <v>6</v>
      </c>
      <c r="H15" s="5">
        <f t="shared" si="0"/>
        <v>1.8000000000000238E-3</v>
      </c>
      <c r="I15" s="5"/>
      <c r="J15" s="6">
        <v>2.4</v>
      </c>
      <c r="K15" s="4">
        <v>3</v>
      </c>
      <c r="L15" s="7" t="s">
        <v>17</v>
      </c>
      <c r="M15" t="str">
        <f>RIGHT(E15,4)</f>
        <v>,922</v>
      </c>
    </row>
    <row r="16" spans="2:14" x14ac:dyDescent="0.25">
      <c r="B16" s="3" t="s">
        <v>18</v>
      </c>
      <c r="C16" t="s">
        <v>93</v>
      </c>
      <c r="E16" s="37">
        <v>0.93</v>
      </c>
      <c r="F16" s="41">
        <v>0.94399999999999995</v>
      </c>
      <c r="G16">
        <v>3</v>
      </c>
      <c r="H16" s="5">
        <f t="shared" si="0"/>
        <v>-1.3999999999999901E-2</v>
      </c>
      <c r="I16" s="5"/>
      <c r="J16" s="6">
        <v>2.5</v>
      </c>
      <c r="K16" s="4">
        <v>4</v>
      </c>
      <c r="L16" s="7" t="s">
        <v>19</v>
      </c>
      <c r="M16" t="str">
        <f>RIGHT(E16,4)</f>
        <v>0,93</v>
      </c>
    </row>
    <row r="17" spans="2:13" x14ac:dyDescent="0.25">
      <c r="B17" s="3" t="s">
        <v>20</v>
      </c>
      <c r="C17" t="s">
        <v>93</v>
      </c>
      <c r="E17" s="37">
        <v>0.93</v>
      </c>
      <c r="F17" s="41">
        <v>0.87380000000000002</v>
      </c>
      <c r="G17">
        <v>3</v>
      </c>
      <c r="H17" s="5">
        <f t="shared" si="0"/>
        <v>5.6200000000000028E-2</v>
      </c>
      <c r="I17" s="5"/>
      <c r="J17" s="6">
        <v>1.2</v>
      </c>
      <c r="K17" s="4">
        <v>0</v>
      </c>
      <c r="L17" s="7" t="s">
        <v>11</v>
      </c>
      <c r="M17" t="str">
        <f>RIGHT(E17,4)</f>
        <v>0,93</v>
      </c>
    </row>
    <row r="18" spans="2:13" x14ac:dyDescent="0.25">
      <c r="B18" s="3" t="s">
        <v>21</v>
      </c>
      <c r="C18" t="s">
        <v>93</v>
      </c>
      <c r="E18" s="37">
        <v>0.93</v>
      </c>
      <c r="F18" s="41">
        <v>0.86970000000000003</v>
      </c>
      <c r="G18">
        <v>3</v>
      </c>
      <c r="H18" s="5">
        <f t="shared" si="0"/>
        <v>6.030000000000002E-2</v>
      </c>
      <c r="I18" s="5"/>
      <c r="J18" s="6">
        <v>1.5</v>
      </c>
      <c r="K18" s="4">
        <v>0</v>
      </c>
      <c r="L18" s="7" t="s">
        <v>11</v>
      </c>
      <c r="M18" t="str">
        <f>RIGHT(E18,4)</f>
        <v>0,93</v>
      </c>
    </row>
    <row r="19" spans="2:13" x14ac:dyDescent="0.25">
      <c r="B19" s="3" t="s">
        <v>22</v>
      </c>
      <c r="C19" t="s">
        <v>93</v>
      </c>
      <c r="E19" s="37">
        <v>0.97199999999999998</v>
      </c>
      <c r="F19" s="41">
        <v>0.96050000000000002</v>
      </c>
      <c r="G19">
        <v>7</v>
      </c>
      <c r="H19" s="5">
        <f t="shared" si="0"/>
        <v>1.1499999999999955E-2</v>
      </c>
      <c r="I19" s="5"/>
      <c r="J19" s="6">
        <v>2</v>
      </c>
      <c r="K19" s="4">
        <v>1</v>
      </c>
      <c r="L19" s="7" t="s">
        <v>23</v>
      </c>
      <c r="M19" t="str">
        <f>RIGHT(E19,4)</f>
        <v>,972</v>
      </c>
    </row>
    <row r="20" spans="2:13" x14ac:dyDescent="0.25">
      <c r="B20" s="3" t="s">
        <v>24</v>
      </c>
      <c r="C20" t="s">
        <v>93</v>
      </c>
      <c r="E20" s="37">
        <v>0.8</v>
      </c>
      <c r="F20" s="41">
        <v>0.63639999999999997</v>
      </c>
      <c r="G20">
        <v>4</v>
      </c>
      <c r="H20" s="5">
        <f t="shared" si="0"/>
        <v>0.16360000000000008</v>
      </c>
      <c r="I20" s="5"/>
      <c r="J20" s="6">
        <v>1.8</v>
      </c>
      <c r="K20" s="4">
        <v>1</v>
      </c>
      <c r="L20" s="7" t="s">
        <v>25</v>
      </c>
      <c r="M20" t="str">
        <f>RIGHT(E20,4)</f>
        <v>0,8</v>
      </c>
    </row>
    <row r="21" spans="2:13" x14ac:dyDescent="0.25">
      <c r="C21" t="s">
        <v>93</v>
      </c>
      <c r="E21" s="37">
        <v>7.0000000000000007E-2</v>
      </c>
      <c r="F21" s="41">
        <v>6.13E-2</v>
      </c>
      <c r="G21">
        <v>4</v>
      </c>
      <c r="H21" s="5">
        <f t="shared" si="0"/>
        <v>8.7000000000000063E-3</v>
      </c>
      <c r="I21" s="5"/>
      <c r="J21" s="6">
        <v>1.8</v>
      </c>
      <c r="M21" t="str">
        <f>RIGHT(E21,4)</f>
        <v>0,07</v>
      </c>
    </row>
    <row r="22" spans="2:13" x14ac:dyDescent="0.25">
      <c r="C22" t="s">
        <v>93</v>
      </c>
      <c r="E22" s="37">
        <v>0.93</v>
      </c>
      <c r="F22" s="41">
        <v>0.82410000000000005</v>
      </c>
      <c r="G22">
        <v>5</v>
      </c>
      <c r="H22" s="5">
        <f t="shared" si="0"/>
        <v>0.10589999999999999</v>
      </c>
      <c r="I22" s="5"/>
      <c r="J22" s="6">
        <v>1.8</v>
      </c>
      <c r="M22" t="str">
        <f>RIGHT(E22,4)</f>
        <v>0,93</v>
      </c>
    </row>
    <row r="23" spans="2:13" x14ac:dyDescent="0.25">
      <c r="C23" t="s">
        <v>93</v>
      </c>
      <c r="E23" s="37">
        <v>0.93</v>
      </c>
      <c r="F23" s="41">
        <v>0.87380000000000002</v>
      </c>
      <c r="G23">
        <v>5</v>
      </c>
      <c r="H23" s="5">
        <f t="shared" si="0"/>
        <v>5.6200000000000028E-2</v>
      </c>
      <c r="I23" s="5"/>
      <c r="J23" s="6">
        <v>1.8</v>
      </c>
      <c r="M23" t="str">
        <f>RIGHT(E23,4)</f>
        <v>0,93</v>
      </c>
    </row>
    <row r="24" spans="2:13" x14ac:dyDescent="0.25">
      <c r="C24" t="s">
        <v>93</v>
      </c>
      <c r="E24" s="37">
        <v>0.97199999999999998</v>
      </c>
      <c r="F24" s="41">
        <v>0.95720000000000005</v>
      </c>
      <c r="G24">
        <v>8</v>
      </c>
      <c r="H24" s="5">
        <f t="shared" si="0"/>
        <v>1.4799999999999924E-2</v>
      </c>
      <c r="I24" s="5"/>
      <c r="J24" s="6">
        <v>1.8</v>
      </c>
      <c r="M24" t="str">
        <f>RIGHT(E24,4)</f>
        <v>,972</v>
      </c>
    </row>
    <row r="25" spans="2:13" x14ac:dyDescent="0.25">
      <c r="C25" t="s">
        <v>93</v>
      </c>
      <c r="E25" s="37">
        <v>0.7</v>
      </c>
      <c r="F25" s="41">
        <v>0.70230000000000004</v>
      </c>
      <c r="G25">
        <v>6</v>
      </c>
      <c r="H25" s="5">
        <f t="shared" si="0"/>
        <v>-2.3000000000000798E-3</v>
      </c>
      <c r="I25" s="5"/>
      <c r="J25" s="6">
        <v>1.8</v>
      </c>
      <c r="M25" t="str">
        <f>RIGHT(E25,4)</f>
        <v>0,7</v>
      </c>
    </row>
    <row r="26" spans="2:13" x14ac:dyDescent="0.25">
      <c r="C26" t="s">
        <v>94</v>
      </c>
      <c r="E26" s="37">
        <v>0.88</v>
      </c>
      <c r="F26" s="41">
        <v>0.84</v>
      </c>
      <c r="G26">
        <v>6</v>
      </c>
      <c r="H26" s="5">
        <f t="shared" si="0"/>
        <v>4.0000000000000036E-2</v>
      </c>
      <c r="I26" s="5"/>
      <c r="J26" s="6">
        <v>1.8</v>
      </c>
      <c r="M26" t="str">
        <f>RIGHT(E26,4)</f>
        <v>0,88</v>
      </c>
    </row>
    <row r="27" spans="2:13" x14ac:dyDescent="0.25">
      <c r="C27" t="s">
        <v>94</v>
      </c>
      <c r="E27" s="37">
        <v>0.85</v>
      </c>
      <c r="F27" s="41">
        <v>0.79720000000000002</v>
      </c>
      <c r="G27">
        <v>7</v>
      </c>
      <c r="H27" s="5">
        <f t="shared" si="0"/>
        <v>5.2799999999999958E-2</v>
      </c>
      <c r="I27" s="5"/>
      <c r="J27" s="6">
        <v>1.8</v>
      </c>
      <c r="M27" t="str">
        <f>RIGHT(E27,4)</f>
        <v>0,85</v>
      </c>
    </row>
    <row r="28" spans="2:13" x14ac:dyDescent="0.25">
      <c r="C28" t="s">
        <v>94</v>
      </c>
      <c r="E28" s="37">
        <v>0.95</v>
      </c>
      <c r="F28" s="41">
        <v>0.96540000000000004</v>
      </c>
      <c r="G28" t="s">
        <v>96</v>
      </c>
      <c r="H28" s="5">
        <f t="shared" si="0"/>
        <v>-1.540000000000008E-2</v>
      </c>
      <c r="I28" s="5"/>
      <c r="J28" s="6">
        <v>1.8</v>
      </c>
      <c r="M28" t="str">
        <f>RIGHT(E28,4)</f>
        <v>0,95</v>
      </c>
    </row>
    <row r="29" spans="2:13" x14ac:dyDescent="0.25">
      <c r="C29" t="s">
        <v>94</v>
      </c>
      <c r="E29" s="37">
        <v>0.96</v>
      </c>
      <c r="F29" s="41">
        <v>0.95499999999999996</v>
      </c>
      <c r="G29">
        <v>7</v>
      </c>
      <c r="H29" s="5">
        <f t="shared" si="0"/>
        <v>5.0000000000000044E-3</v>
      </c>
      <c r="I29" s="5"/>
      <c r="J29" s="6">
        <v>1.8</v>
      </c>
      <c r="M29" t="str">
        <f>RIGHT(E29,4)</f>
        <v>0,96</v>
      </c>
    </row>
    <row r="30" spans="2:13" x14ac:dyDescent="0.25">
      <c r="C30" t="s">
        <v>94</v>
      </c>
      <c r="E30" s="37">
        <v>0.92200000000000004</v>
      </c>
      <c r="F30" s="41">
        <v>0.89500000000000002</v>
      </c>
      <c r="G30">
        <v>6</v>
      </c>
      <c r="H30" s="5">
        <f t="shared" si="0"/>
        <v>2.7000000000000024E-2</v>
      </c>
      <c r="I30" s="5"/>
      <c r="J30" s="6">
        <v>1.8</v>
      </c>
      <c r="M30" t="str">
        <f>RIGHT(E30,4)</f>
        <v>,922</v>
      </c>
    </row>
    <row r="31" spans="2:13" x14ac:dyDescent="0.25">
      <c r="C31" t="s">
        <v>94</v>
      </c>
      <c r="E31" s="37">
        <v>0.93</v>
      </c>
      <c r="F31" s="41">
        <v>0.93379999999999996</v>
      </c>
      <c r="G31">
        <v>3</v>
      </c>
      <c r="H31" s="5">
        <f t="shared" si="0"/>
        <v>-3.7999999999999146E-3</v>
      </c>
      <c r="I31" s="5"/>
      <c r="J31" s="6">
        <v>1.8</v>
      </c>
      <c r="M31" t="str">
        <f>RIGHT(E31,4)</f>
        <v>0,93</v>
      </c>
    </row>
    <row r="32" spans="2:13" x14ac:dyDescent="0.25">
      <c r="C32" t="s">
        <v>94</v>
      </c>
      <c r="E32" s="37">
        <v>0.93</v>
      </c>
      <c r="F32" s="41">
        <v>0.87560000000000004</v>
      </c>
      <c r="G32">
        <v>3</v>
      </c>
      <c r="H32" s="5">
        <f t="shared" si="0"/>
        <v>5.4400000000000004E-2</v>
      </c>
      <c r="I32" s="5"/>
      <c r="J32" s="6">
        <v>1.8</v>
      </c>
      <c r="M32" t="str">
        <f>RIGHT(E32,4)</f>
        <v>0,93</v>
      </c>
    </row>
    <row r="33" spans="3:13" x14ac:dyDescent="0.25">
      <c r="C33" t="s">
        <v>94</v>
      </c>
      <c r="E33" s="37">
        <v>0.93</v>
      </c>
      <c r="F33" s="41">
        <v>0.91659999999999997</v>
      </c>
      <c r="G33">
        <v>3</v>
      </c>
      <c r="H33" s="5">
        <f t="shared" si="0"/>
        <v>1.3400000000000079E-2</v>
      </c>
      <c r="I33" s="5"/>
      <c r="J33" s="6">
        <v>1.8</v>
      </c>
      <c r="M33" t="str">
        <f>RIGHT(E33,4)</f>
        <v>0,93</v>
      </c>
    </row>
    <row r="34" spans="3:13" x14ac:dyDescent="0.25">
      <c r="C34" t="s">
        <v>94</v>
      </c>
      <c r="E34" s="37">
        <v>0.95</v>
      </c>
      <c r="F34" s="41">
        <v>0.82940000000000003</v>
      </c>
      <c r="G34">
        <v>3</v>
      </c>
      <c r="H34" s="5">
        <f t="shared" si="0"/>
        <v>0.12059999999999993</v>
      </c>
      <c r="I34" s="5"/>
      <c r="J34" s="6">
        <v>1.8</v>
      </c>
      <c r="M34" t="str">
        <f>RIGHT(E34,4)</f>
        <v>0,95</v>
      </c>
    </row>
    <row r="35" spans="3:13" x14ac:dyDescent="0.25">
      <c r="C35" t="s">
        <v>94</v>
      </c>
      <c r="E35" s="37">
        <v>0.97199999999999998</v>
      </c>
      <c r="F35" s="41">
        <v>0.9627</v>
      </c>
      <c r="G35">
        <v>7</v>
      </c>
      <c r="H35" s="5">
        <f t="shared" si="0"/>
        <v>9.299999999999975E-3</v>
      </c>
      <c r="I35" s="5"/>
      <c r="J35" s="6">
        <v>1.8</v>
      </c>
      <c r="M35" t="str">
        <f>RIGHT(E35,4)</f>
        <v>,972</v>
      </c>
    </row>
    <row r="36" spans="3:13" x14ac:dyDescent="0.25">
      <c r="C36" t="s">
        <v>94</v>
      </c>
      <c r="E36" s="37">
        <v>0.8</v>
      </c>
      <c r="F36" s="41">
        <v>0.69230000000000003</v>
      </c>
      <c r="G36">
        <v>4</v>
      </c>
      <c r="H36" s="5">
        <f t="shared" si="0"/>
        <v>0.10770000000000002</v>
      </c>
      <c r="I36" s="5"/>
      <c r="J36" s="6">
        <v>1.8</v>
      </c>
      <c r="M36" t="str">
        <f>RIGHT(E36,4)</f>
        <v>0,8</v>
      </c>
    </row>
    <row r="37" spans="3:13" x14ac:dyDescent="0.25">
      <c r="C37" t="s">
        <v>94</v>
      </c>
      <c r="E37" s="37">
        <v>7.0000000000000007E-2</v>
      </c>
      <c r="F37" s="41">
        <v>6.0900000000000003E-2</v>
      </c>
      <c r="G37">
        <v>4</v>
      </c>
      <c r="H37" s="5">
        <f t="shared" si="0"/>
        <v>9.1000000000000039E-3</v>
      </c>
      <c r="I37" s="5"/>
      <c r="J37" s="6">
        <v>1.8</v>
      </c>
      <c r="M37" t="str">
        <f>RIGHT(E37,4)</f>
        <v>0,07</v>
      </c>
    </row>
    <row r="38" spans="3:13" x14ac:dyDescent="0.25">
      <c r="C38" t="s">
        <v>94</v>
      </c>
      <c r="E38" s="37">
        <v>0.93</v>
      </c>
      <c r="F38" s="41">
        <v>0.76229999999999998</v>
      </c>
      <c r="G38">
        <v>5</v>
      </c>
      <c r="H38" s="5">
        <f t="shared" si="0"/>
        <v>0.16770000000000007</v>
      </c>
      <c r="I38" s="5"/>
      <c r="J38" s="6">
        <v>1.8</v>
      </c>
      <c r="M38" t="str">
        <f>RIGHT(E38,4)</f>
        <v>0,93</v>
      </c>
    </row>
    <row r="39" spans="3:13" x14ac:dyDescent="0.25">
      <c r="C39" t="s">
        <v>94</v>
      </c>
      <c r="E39" s="37">
        <v>0.93</v>
      </c>
      <c r="F39" s="41">
        <v>0.87560000000000004</v>
      </c>
      <c r="G39">
        <v>5</v>
      </c>
      <c r="H39" s="5">
        <f t="shared" si="0"/>
        <v>5.4400000000000004E-2</v>
      </c>
      <c r="I39" s="5"/>
      <c r="J39" s="6">
        <v>1.8</v>
      </c>
      <c r="M39" t="str">
        <f>RIGHT(E39,4)</f>
        <v>0,93</v>
      </c>
    </row>
    <row r="40" spans="3:13" x14ac:dyDescent="0.25">
      <c r="C40" t="s">
        <v>94</v>
      </c>
      <c r="E40" s="37">
        <v>0.97199999999999998</v>
      </c>
      <c r="F40" s="41">
        <v>0.94189999999999996</v>
      </c>
      <c r="G40">
        <v>8</v>
      </c>
      <c r="H40" s="5">
        <f t="shared" si="0"/>
        <v>3.0100000000000016E-2</v>
      </c>
      <c r="I40" s="5"/>
      <c r="J40" s="6">
        <v>1.8</v>
      </c>
      <c r="M40" t="str">
        <f>RIGHT(E40,4)</f>
        <v>,972</v>
      </c>
    </row>
    <row r="41" spans="3:13" x14ac:dyDescent="0.25">
      <c r="C41" t="s">
        <v>94</v>
      </c>
      <c r="E41" s="37">
        <v>0.8</v>
      </c>
      <c r="F41" s="41">
        <v>0.75</v>
      </c>
      <c r="G41">
        <v>6</v>
      </c>
      <c r="H41" s="5">
        <f t="shared" si="0"/>
        <v>5.0000000000000044E-2</v>
      </c>
      <c r="I41" s="5"/>
      <c r="J41" s="6">
        <v>1.8</v>
      </c>
      <c r="M41" t="str">
        <f>RIGHT(E41,4)</f>
        <v>0,8</v>
      </c>
    </row>
    <row r="42" spans="3:13" x14ac:dyDescent="0.25">
      <c r="C42" t="s">
        <v>94</v>
      </c>
      <c r="E42" s="37">
        <v>0.7</v>
      </c>
      <c r="F42" s="41">
        <v>0.67090000000000005</v>
      </c>
      <c r="G42">
        <v>6</v>
      </c>
      <c r="H42" s="5">
        <f t="shared" si="0"/>
        <v>2.9099999999999904E-2</v>
      </c>
      <c r="I42" s="5"/>
      <c r="J42" s="6">
        <v>1.8</v>
      </c>
      <c r="M42" t="str">
        <f>RIGHT(E42,4)</f>
        <v>0,7</v>
      </c>
    </row>
  </sheetData>
  <mergeCells count="5">
    <mergeCell ref="B9:M9"/>
    <mergeCell ref="F5:H6"/>
    <mergeCell ref="B5:C6"/>
    <mergeCell ref="K5:M6"/>
    <mergeCell ref="B2:M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12"/>
  <sheetViews>
    <sheetView workbookViewId="0">
      <selection activeCell="I7" sqref="I7"/>
    </sheetView>
  </sheetViews>
  <sheetFormatPr defaultRowHeight="15" x14ac:dyDescent="0.25"/>
  <cols>
    <col min="1" max="1" width="3" customWidth="1"/>
    <col min="2" max="2" width="8" customWidth="1"/>
    <col min="3" max="3" width="9.5703125" bestFit="1" customWidth="1"/>
    <col min="4" max="4" width="26.140625" bestFit="1" customWidth="1"/>
    <col min="5" max="5" width="11.85546875" bestFit="1" customWidth="1"/>
    <col min="6" max="7" width="6.140625" bestFit="1" customWidth="1"/>
    <col min="8" max="8" width="13.85546875" bestFit="1" customWidth="1"/>
    <col min="9" max="9" width="16.42578125" customWidth="1"/>
    <col min="10" max="10" width="9.28515625" customWidth="1"/>
    <col min="11" max="11" width="7.7109375" customWidth="1"/>
    <col min="12" max="12" width="5.85546875" customWidth="1"/>
    <col min="13" max="13" width="15.5703125" customWidth="1"/>
    <col min="14" max="14" width="3.7109375" bestFit="1" customWidth="1"/>
    <col min="15" max="15" width="12.28515625" customWidth="1"/>
    <col min="16" max="16" width="4" bestFit="1" customWidth="1"/>
    <col min="17" max="17" width="11.85546875" customWidth="1"/>
    <col min="18" max="18" width="9" customWidth="1"/>
    <col min="19" max="19" width="8" customWidth="1"/>
    <col min="20" max="20" width="8.7109375" customWidth="1"/>
    <col min="21" max="21" width="4.7109375" customWidth="1"/>
  </cols>
  <sheetData>
    <row r="2" spans="2:21" x14ac:dyDescent="0.25">
      <c r="B2" s="27" t="s">
        <v>28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2:21" x14ac:dyDescent="0.25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</row>
    <row r="5" spans="2:21" ht="16.5" x14ac:dyDescent="0.3">
      <c r="B5" s="29" t="s">
        <v>29</v>
      </c>
      <c r="C5" s="22"/>
      <c r="D5" s="22"/>
      <c r="E5" s="22"/>
      <c r="F5" s="22"/>
      <c r="G5" s="22"/>
      <c r="H5" s="22"/>
      <c r="I5" s="28" t="s">
        <v>30</v>
      </c>
      <c r="J5" s="22"/>
      <c r="K5" s="22"/>
      <c r="L5" s="22"/>
      <c r="M5" s="28" t="s">
        <v>31</v>
      </c>
      <c r="N5" s="22"/>
      <c r="O5" s="22"/>
      <c r="P5" s="22"/>
      <c r="Q5" s="28" t="s">
        <v>32</v>
      </c>
      <c r="R5" s="22"/>
      <c r="S5" s="22"/>
      <c r="T5" s="22"/>
    </row>
    <row r="6" spans="2:21" x14ac:dyDescent="0.25">
      <c r="B6" s="13" t="s">
        <v>33</v>
      </c>
      <c r="C6" s="13" t="s">
        <v>34</v>
      </c>
      <c r="D6" s="13" t="s">
        <v>35</v>
      </c>
      <c r="E6" s="13" t="s">
        <v>36</v>
      </c>
      <c r="F6" s="13" t="s">
        <v>37</v>
      </c>
      <c r="G6" s="13" t="s">
        <v>38</v>
      </c>
      <c r="H6" s="13" t="s">
        <v>39</v>
      </c>
      <c r="I6" s="13" t="s">
        <v>40</v>
      </c>
      <c r="J6" s="14" t="s">
        <v>41</v>
      </c>
      <c r="K6" s="14" t="s">
        <v>42</v>
      </c>
      <c r="L6" s="14" t="s">
        <v>43</v>
      </c>
      <c r="M6" s="14" t="s">
        <v>44</v>
      </c>
      <c r="N6" s="14" t="s">
        <v>41</v>
      </c>
      <c r="O6" s="14" t="s">
        <v>42</v>
      </c>
      <c r="P6" s="14" t="s">
        <v>43</v>
      </c>
      <c r="Q6" s="14" t="s">
        <v>44</v>
      </c>
      <c r="R6" s="14" t="s">
        <v>41</v>
      </c>
      <c r="S6" s="14" t="s">
        <v>42</v>
      </c>
      <c r="T6" s="14" t="s">
        <v>43</v>
      </c>
      <c r="U6" s="14" t="s">
        <v>44</v>
      </c>
    </row>
    <row r="7" spans="2:21" x14ac:dyDescent="0.25">
      <c r="B7" s="3">
        <v>1</v>
      </c>
      <c r="C7" s="15" t="s">
        <v>45</v>
      </c>
      <c r="D7" s="15" t="s">
        <v>46</v>
      </c>
      <c r="E7" s="15" t="s">
        <v>47</v>
      </c>
      <c r="F7" s="3" t="s">
        <v>10</v>
      </c>
      <c r="G7" s="3" t="s">
        <v>16</v>
      </c>
      <c r="H7" s="3" t="s">
        <v>48</v>
      </c>
      <c r="I7" s="16">
        <v>0.4</v>
      </c>
      <c r="J7" s="17"/>
      <c r="K7" s="17"/>
      <c r="L7" s="17"/>
      <c r="M7" s="17"/>
      <c r="N7" s="1"/>
      <c r="O7" s="1"/>
      <c r="P7" s="1"/>
      <c r="Q7" s="1"/>
      <c r="R7" s="1"/>
      <c r="S7" s="1"/>
      <c r="T7" s="1"/>
      <c r="U7" s="1"/>
    </row>
    <row r="8" spans="2:21" x14ac:dyDescent="0.25">
      <c r="B8" s="3">
        <v>2</v>
      </c>
      <c r="C8" s="15" t="s">
        <v>45</v>
      </c>
      <c r="D8" s="15" t="s">
        <v>49</v>
      </c>
      <c r="E8" s="15" t="s">
        <v>50</v>
      </c>
      <c r="F8" s="3" t="s">
        <v>12</v>
      </c>
      <c r="G8" s="3" t="s">
        <v>21</v>
      </c>
      <c r="H8" s="3" t="s">
        <v>51</v>
      </c>
      <c r="I8" s="16">
        <v>0.7</v>
      </c>
      <c r="J8" s="1"/>
      <c r="K8" s="18"/>
      <c r="L8" s="18"/>
      <c r="M8" s="18"/>
      <c r="N8" s="18"/>
      <c r="O8" s="18"/>
      <c r="P8" s="18"/>
      <c r="Q8" s="1"/>
      <c r="R8" s="1"/>
      <c r="S8" s="1"/>
      <c r="T8" s="1"/>
      <c r="U8" s="1"/>
    </row>
    <row r="9" spans="2:21" x14ac:dyDescent="0.25">
      <c r="B9" s="3">
        <v>3</v>
      </c>
      <c r="C9" s="15" t="s">
        <v>52</v>
      </c>
      <c r="D9" s="15" t="s">
        <v>53</v>
      </c>
      <c r="E9" s="15" t="s">
        <v>54</v>
      </c>
      <c r="F9" s="3" t="s">
        <v>16</v>
      </c>
      <c r="G9" s="3" t="s">
        <v>18</v>
      </c>
      <c r="H9" s="3" t="s">
        <v>55</v>
      </c>
      <c r="I9" s="16">
        <v>1</v>
      </c>
      <c r="J9" s="1"/>
      <c r="K9" s="1"/>
      <c r="L9" s="1"/>
      <c r="M9" s="19"/>
      <c r="N9" s="19"/>
      <c r="O9" s="1"/>
      <c r="P9" s="1"/>
      <c r="Q9" s="1"/>
      <c r="R9" s="1"/>
      <c r="S9" s="1"/>
      <c r="T9" s="1"/>
      <c r="U9" s="1"/>
    </row>
    <row r="10" spans="2:21" x14ac:dyDescent="0.25">
      <c r="B10" s="3">
        <v>4</v>
      </c>
      <c r="C10" s="15" t="s">
        <v>52</v>
      </c>
      <c r="D10" s="15" t="s">
        <v>56</v>
      </c>
      <c r="E10" s="15" t="s">
        <v>57</v>
      </c>
      <c r="F10" s="3" t="s">
        <v>21</v>
      </c>
      <c r="G10" s="3" t="s">
        <v>58</v>
      </c>
      <c r="H10" s="3" t="s">
        <v>51</v>
      </c>
      <c r="I10" s="16">
        <v>0.25</v>
      </c>
      <c r="J10" s="1"/>
      <c r="K10" s="1"/>
      <c r="L10" s="1"/>
      <c r="M10" s="1"/>
      <c r="N10" s="1"/>
      <c r="O10" s="1"/>
      <c r="P10" s="18"/>
      <c r="Q10" s="18"/>
      <c r="R10" s="18"/>
      <c r="S10" s="18"/>
      <c r="T10" s="1"/>
      <c r="U10" s="1"/>
    </row>
    <row r="11" spans="2:21" x14ac:dyDescent="0.25">
      <c r="B11" s="3">
        <v>5</v>
      </c>
      <c r="C11" s="15" t="s">
        <v>59</v>
      </c>
      <c r="D11" s="15" t="s">
        <v>60</v>
      </c>
      <c r="E11" s="15" t="s">
        <v>61</v>
      </c>
      <c r="F11" s="3" t="s">
        <v>24</v>
      </c>
      <c r="G11" s="3" t="s">
        <v>62</v>
      </c>
      <c r="H11" s="3" t="s">
        <v>63</v>
      </c>
      <c r="I11" s="16">
        <v>0</v>
      </c>
      <c r="J11" s="1"/>
      <c r="K11" s="1"/>
      <c r="L11" s="1"/>
      <c r="M11" s="1"/>
      <c r="N11" s="1"/>
      <c r="O11" s="1"/>
      <c r="P11" s="1"/>
      <c r="Q11" s="1"/>
      <c r="R11" s="20"/>
      <c r="S11" s="20"/>
      <c r="T11" s="20"/>
      <c r="U11" s="20"/>
    </row>
    <row r="12" spans="2:21" x14ac:dyDescent="0.25">
      <c r="B12" s="3">
        <v>6</v>
      </c>
      <c r="C12" s="15" t="s">
        <v>64</v>
      </c>
      <c r="D12" s="15" t="s">
        <v>65</v>
      </c>
      <c r="E12" s="15" t="s">
        <v>66</v>
      </c>
      <c r="F12" s="3" t="s">
        <v>67</v>
      </c>
      <c r="G12" s="3" t="s">
        <v>68</v>
      </c>
      <c r="H12" s="3" t="s">
        <v>51</v>
      </c>
      <c r="I12" s="16">
        <v>0.6</v>
      </c>
      <c r="J12" s="1"/>
      <c r="K12" s="1"/>
      <c r="L12" s="1"/>
      <c r="M12" s="1"/>
      <c r="N12" s="1"/>
      <c r="O12" s="1"/>
      <c r="P12" s="1"/>
      <c r="Q12" s="1"/>
      <c r="R12" s="1"/>
      <c r="S12" s="18"/>
      <c r="T12" s="18"/>
      <c r="U12" s="18"/>
    </row>
  </sheetData>
  <mergeCells count="5">
    <mergeCell ref="M5:P5"/>
    <mergeCell ref="Q5:T5"/>
    <mergeCell ref="B2:U3"/>
    <mergeCell ref="B5:H5"/>
    <mergeCell ref="I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15"/>
  <sheetViews>
    <sheetView workbookViewId="0">
      <selection activeCell="B8" sqref="B8:D9"/>
    </sheetView>
  </sheetViews>
  <sheetFormatPr defaultRowHeight="15" x14ac:dyDescent="0.25"/>
  <cols>
    <col min="1" max="1" width="3" customWidth="1"/>
    <col min="2" max="4" width="12" customWidth="1"/>
    <col min="6" max="8" width="12" customWidth="1"/>
    <col min="10" max="12" width="12" customWidth="1"/>
    <col min="14" max="16" width="12" customWidth="1"/>
  </cols>
  <sheetData>
    <row r="2" spans="2:16" x14ac:dyDescent="0.25">
      <c r="B2" s="27" t="s">
        <v>69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2:16" x14ac:dyDescent="0.25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5" spans="2:16" ht="16.5" x14ac:dyDescent="0.25">
      <c r="B5" s="35" t="s">
        <v>70</v>
      </c>
      <c r="C5" s="24"/>
      <c r="D5" s="24"/>
      <c r="F5" s="30" t="s">
        <v>71</v>
      </c>
      <c r="G5" s="24"/>
      <c r="H5" s="24"/>
      <c r="J5" s="36" t="s">
        <v>72</v>
      </c>
      <c r="K5" s="24"/>
      <c r="L5" s="24"/>
      <c r="N5" s="31" t="s">
        <v>73</v>
      </c>
      <c r="O5" s="24"/>
      <c r="P5" s="24"/>
    </row>
    <row r="7" spans="2:16" x14ac:dyDescent="0.25">
      <c r="B7" s="34" t="s">
        <v>74</v>
      </c>
      <c r="C7" s="24"/>
      <c r="D7" s="24"/>
      <c r="F7" s="34" t="s">
        <v>75</v>
      </c>
      <c r="G7" s="24"/>
      <c r="H7" s="24"/>
      <c r="J7" s="34" t="s">
        <v>75</v>
      </c>
      <c r="K7" s="24"/>
      <c r="L7" s="24"/>
      <c r="N7" s="34" t="s">
        <v>76</v>
      </c>
      <c r="O7" s="24"/>
      <c r="P7" s="24"/>
    </row>
    <row r="8" spans="2:16" x14ac:dyDescent="0.25">
      <c r="B8" s="32" t="s">
        <v>77</v>
      </c>
      <c r="C8" s="24"/>
      <c r="D8" s="24"/>
      <c r="F8" s="32" t="s">
        <v>78</v>
      </c>
      <c r="G8" s="24"/>
      <c r="H8" s="24"/>
      <c r="J8" s="32" t="s">
        <v>79</v>
      </c>
      <c r="K8" s="24"/>
      <c r="L8" s="24"/>
      <c r="N8" s="32" t="s">
        <v>80</v>
      </c>
      <c r="O8" s="24"/>
      <c r="P8" s="24"/>
    </row>
    <row r="9" spans="2:16" x14ac:dyDescent="0.25">
      <c r="B9" s="24"/>
      <c r="C9" s="24"/>
      <c r="D9" s="24"/>
      <c r="F9" s="24"/>
      <c r="G9" s="24"/>
      <c r="H9" s="24"/>
      <c r="J9" s="24"/>
      <c r="K9" s="24"/>
      <c r="L9" s="24"/>
      <c r="N9" s="24"/>
      <c r="O9" s="24"/>
      <c r="P9" s="24"/>
    </row>
    <row r="10" spans="2:16" x14ac:dyDescent="0.25">
      <c r="B10" s="33" t="s">
        <v>81</v>
      </c>
      <c r="C10" s="24"/>
      <c r="D10" s="24"/>
      <c r="F10" s="33" t="s">
        <v>82</v>
      </c>
      <c r="G10" s="24"/>
      <c r="H10" s="24"/>
      <c r="J10" s="33" t="s">
        <v>83</v>
      </c>
      <c r="K10" s="24"/>
      <c r="L10" s="24"/>
      <c r="N10" s="33" t="s">
        <v>84</v>
      </c>
      <c r="O10" s="24"/>
      <c r="P10" s="24"/>
    </row>
    <row r="12" spans="2:16" x14ac:dyDescent="0.25">
      <c r="B12" s="34" t="s">
        <v>85</v>
      </c>
      <c r="C12" s="24"/>
      <c r="D12" s="24"/>
      <c r="F12" s="34" t="s">
        <v>86</v>
      </c>
      <c r="G12" s="24"/>
      <c r="H12" s="24"/>
      <c r="J12" s="34" t="s">
        <v>76</v>
      </c>
      <c r="K12" s="24"/>
      <c r="L12" s="24"/>
    </row>
    <row r="13" spans="2:16" x14ac:dyDescent="0.25">
      <c r="B13" s="32" t="s">
        <v>87</v>
      </c>
      <c r="C13" s="24"/>
      <c r="D13" s="24"/>
      <c r="F13" s="32" t="s">
        <v>88</v>
      </c>
      <c r="G13" s="24"/>
      <c r="H13" s="24"/>
      <c r="J13" s="32" t="s">
        <v>89</v>
      </c>
      <c r="K13" s="24"/>
      <c r="L13" s="24"/>
    </row>
    <row r="14" spans="2:16" x14ac:dyDescent="0.25">
      <c r="B14" s="24"/>
      <c r="C14" s="24"/>
      <c r="D14" s="24"/>
      <c r="F14" s="24"/>
      <c r="G14" s="24"/>
      <c r="H14" s="24"/>
      <c r="J14" s="24"/>
      <c r="K14" s="24"/>
      <c r="L14" s="24"/>
    </row>
    <row r="15" spans="2:16" x14ac:dyDescent="0.25">
      <c r="B15" s="33" t="s">
        <v>90</v>
      </c>
      <c r="C15" s="24"/>
      <c r="D15" s="24"/>
      <c r="F15" s="33" t="s">
        <v>91</v>
      </c>
      <c r="G15" s="24"/>
      <c r="H15" s="24"/>
      <c r="J15" s="33" t="s">
        <v>92</v>
      </c>
      <c r="K15" s="24"/>
      <c r="L15" s="24"/>
    </row>
  </sheetData>
  <mergeCells count="26">
    <mergeCell ref="B2:M3"/>
    <mergeCell ref="F8:H9"/>
    <mergeCell ref="B13:D14"/>
    <mergeCell ref="N8:P9"/>
    <mergeCell ref="B7:D7"/>
    <mergeCell ref="J5:L5"/>
    <mergeCell ref="F10:H10"/>
    <mergeCell ref="N7:P7"/>
    <mergeCell ref="J10:L10"/>
    <mergeCell ref="F13:H14"/>
    <mergeCell ref="F12:H12"/>
    <mergeCell ref="F7:H7"/>
    <mergeCell ref="B12:D12"/>
    <mergeCell ref="J13:L14"/>
    <mergeCell ref="B15:D15"/>
    <mergeCell ref="J12:L12"/>
    <mergeCell ref="B8:D9"/>
    <mergeCell ref="B5:D5"/>
    <mergeCell ref="F15:H15"/>
    <mergeCell ref="J15:L15"/>
    <mergeCell ref="F5:H5"/>
    <mergeCell ref="N5:P5"/>
    <mergeCell ref="J8:L9"/>
    <mergeCell ref="B10:D10"/>
    <mergeCell ref="J7:L7"/>
    <mergeCell ref="N10:P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1. Dashboard de Tendência</vt:lpstr>
      <vt:lpstr>2. Cronograma Gantt</vt:lpstr>
      <vt:lpstr>3. Quadro Kanban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Thamiris Almeida Santos</cp:lastModifiedBy>
  <dcterms:created xsi:type="dcterms:W3CDTF">2026-06-12T14:06:03Z</dcterms:created>
  <dcterms:modified xsi:type="dcterms:W3CDTF">2026-06-12T23:36:50Z</dcterms:modified>
</cp:coreProperties>
</file>